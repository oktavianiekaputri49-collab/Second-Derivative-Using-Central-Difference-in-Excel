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B02C4BCA-5158-4D5A-B7E5-E277FEDFAA3C}" xr6:coauthVersionLast="47" xr6:coauthVersionMax="47" xr10:uidLastSave="{00000000-0000-0000-0000-000000000000}"/>
  <bookViews>
    <workbookView xWindow="-110" yWindow="-110" windowWidth="19420" windowHeight="10300" xr2:uid="{0A08C2A6-98F2-4090-BD19-4E263F8BC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1" l="1"/>
  <c r="B40" i="1"/>
  <c r="B39" i="1"/>
  <c r="B38" i="1"/>
  <c r="B11" i="1"/>
  <c r="B9" i="1"/>
  <c r="B8" i="1"/>
  <c r="B7" i="1"/>
  <c r="B14" i="1" l="1"/>
  <c r="C14" i="1" s="1"/>
  <c r="B45" i="1"/>
  <c r="C45" i="1" s="1"/>
</calcChain>
</file>

<file path=xl/sharedStrings.xml><?xml version="1.0" encoding="utf-8"?>
<sst xmlns="http://schemas.openxmlformats.org/spreadsheetml/2006/main" count="35" uniqueCount="23">
  <si>
    <t>f(x)</t>
  </si>
  <si>
    <t>3xe^x-cos x</t>
  </si>
  <si>
    <t>batas bawah</t>
  </si>
  <si>
    <t>batas atas</t>
  </si>
  <si>
    <t>h</t>
  </si>
  <si>
    <t>x</t>
  </si>
  <si>
    <t>Notasi</t>
  </si>
  <si>
    <t>f-1</t>
  </si>
  <si>
    <t>f0</t>
  </si>
  <si>
    <t>f1</t>
  </si>
  <si>
    <t>Hasil turunan sebenarnya</t>
  </si>
  <si>
    <t>Metode</t>
  </si>
  <si>
    <t>Nilai Hampiran</t>
  </si>
  <si>
    <t>Error</t>
  </si>
  <si>
    <t>Selisih Pusat O(h^2)</t>
  </si>
  <si>
    <t>menunjukkan bahwa metode Selisih Pusat O(h²) memiliki tingkat akurasi yang tinggi</t>
  </si>
  <si>
    <t>dalam menghampiri nilai turunan kedua fungsi f(x)=3xe^x-cos x, sehingga</t>
  </si>
  <si>
    <t>metode ini efektif digunakan untuk memperoleh pendekatan numerik yang mendekati</t>
  </si>
  <si>
    <t>solusi eksak.</t>
  </si>
  <si>
    <r>
      <t>Kesimpulan:</t>
    </r>
    <r>
      <rPr>
        <sz val="12"/>
        <color theme="1"/>
        <rFont val="Times New Roman"/>
        <family val="1"/>
      </rPr>
      <t xml:space="preserve"> Berdasarkan hasil perhitungan turunan numerik menggunakan metode</t>
    </r>
  </si>
  <si>
    <r>
      <t>Selisih Pusat O(h²)</t>
    </r>
    <r>
      <rPr>
        <sz val="12"/>
        <color theme="1"/>
        <rFont val="Times New Roman"/>
        <family val="1"/>
      </rPr>
      <t>, diperoleh nilai hampiran yang sangat mendekati nilai turunan</t>
    </r>
  </si>
  <si>
    <r>
      <t xml:space="preserve">sebenarnya. Pada interval pertama, metode ini menghasilkan </t>
    </r>
    <r>
      <rPr>
        <b/>
        <sz val="12"/>
        <color theme="1"/>
        <rFont val="Times New Roman"/>
        <family val="1"/>
      </rPr>
      <t>error relatif sebesar</t>
    </r>
  </si>
  <si>
    <r>
      <t>0,132%</t>
    </r>
    <r>
      <rPr>
        <sz val="12"/>
        <color theme="1"/>
        <rFont val="Times New Roman"/>
        <family val="1"/>
      </rPr>
      <t xml:space="preserve">, sedangkan pada interval kedua </t>
    </r>
    <r>
      <rPr>
        <b/>
        <sz val="12"/>
        <color theme="1"/>
        <rFont val="Times New Roman"/>
        <family val="1"/>
      </rPr>
      <t>0,0013%</t>
    </r>
    <r>
      <rPr>
        <sz val="12"/>
        <color theme="1"/>
        <rFont val="Times New Roman"/>
        <family val="1"/>
      </rPr>
      <t>. Nilai error yang sangat kecil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</si>
</sst>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%"/>
    <numFmt numFmtId="166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2" fillId="0" borderId="0" xfId="0" applyFont="1"/>
    <xf numFmtId="164" fontId="0" fillId="0" borderId="0" xfId="0" applyNumberForma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0" fillId="0" borderId="0" xfId="1" applyNumberFormat="1" applyFont="1"/>
    <xf numFmtId="166" fontId="0" fillId="0" borderId="0" xfId="1" applyNumberFormat="1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Grafik Fungsi f(x)</a:t>
            </a:r>
            <a:endParaRPr lang="en-US"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Sheet1!$A$7:$A$9</c:f>
              <c:numCache>
                <c:formatCode>General</c:formatCode>
                <c:ptCount val="3"/>
                <c:pt idx="0">
                  <c:v>1.2</c:v>
                </c:pt>
                <c:pt idx="1">
                  <c:v>1.3</c:v>
                </c:pt>
                <c:pt idx="2">
                  <c:v>1.4</c:v>
                </c:pt>
              </c:numCache>
            </c:numRef>
          </c:xVal>
          <c:yVal>
            <c:numRef>
              <c:f>Sheet1!$B$7:$B$9</c:f>
              <c:numCache>
                <c:formatCode>0.0000000000</c:formatCode>
                <c:ptCount val="3"/>
                <c:pt idx="0">
                  <c:v>11.590063167374895</c:v>
                </c:pt>
                <c:pt idx="1">
                  <c:v>14.042758175090468</c:v>
                </c:pt>
                <c:pt idx="2">
                  <c:v>16.86187271784739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8-46A4-B8C9-48F306062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564639"/>
        <c:axId val="2001567039"/>
      </c:scatterChart>
      <c:valAx>
        <c:axId val="200156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01567039"/>
        <c:crosses val="autoZero"/>
        <c:crossBetween val="midCat"/>
      </c:valAx>
      <c:valAx>
        <c:axId val="200156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0156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Grafik Fungsi f(x)</a:t>
            </a:r>
            <a:endParaRPr lang="en-US"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Sheet1!$B$37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Sheet1!$A$38:$A$40</c:f>
              <c:numCache>
                <c:formatCode>General</c:formatCode>
                <c:ptCount val="3"/>
                <c:pt idx="0">
                  <c:v>1.29</c:v>
                </c:pt>
                <c:pt idx="1">
                  <c:v>1.3</c:v>
                </c:pt>
                <c:pt idx="2">
                  <c:v>1.31</c:v>
                </c:pt>
              </c:numCache>
            </c:numRef>
          </c:xVal>
          <c:yVal>
            <c:numRef>
              <c:f>Sheet1!$B$38:$B$40</c:f>
              <c:numCache>
                <c:formatCode>0.0000000000</c:formatCode>
                <c:ptCount val="3"/>
                <c:pt idx="0">
                  <c:v>13.781763095706816</c:v>
                </c:pt>
                <c:pt idx="1">
                  <c:v>14.042758175090468</c:v>
                </c:pt>
                <c:pt idx="2">
                  <c:v>14.307412656453414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BD-44A0-98F6-26634ED85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549279"/>
        <c:axId val="2001550239"/>
      </c:scatterChart>
      <c:valAx>
        <c:axId val="200154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01550239"/>
        <c:crosses val="autoZero"/>
        <c:crossBetween val="midCat"/>
      </c:valAx>
      <c:valAx>
        <c:axId val="200155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0154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88901</xdr:colOff>
      <xdr:row>13</xdr:row>
      <xdr:rowOff>6350</xdr:rowOff>
    </xdr:from>
    <xdr:to>
      <xdr:col>0</xdr:col>
      <xdr:colOff>1327151</xdr:colOff>
      <xdr:row>14</xdr:row>
      <xdr:rowOff>176803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35EBFD-D25D-40E6-B1BF-7623A7045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1" y="2540000"/>
          <a:ext cx="1238250" cy="35460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44</xdr:row>
      <xdr:rowOff>12701</xdr:rowOff>
    </xdr:from>
    <xdr:to>
      <xdr:col>0</xdr:col>
      <xdr:colOff>1289051</xdr:colOff>
      <xdr:row>46</xdr:row>
      <xdr:rowOff>2641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DBF61F-B156-4B49-92A9-D49688EC0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4845051"/>
          <a:ext cx="1250950" cy="35824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180974</xdr:rowOff>
    </xdr:from>
    <xdr:to>
      <xdr:col>6</xdr:col>
      <xdr:colOff>12700</xdr:colOff>
      <xdr:row>33</xdr:row>
      <xdr:rowOff>184149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CA1706-E171-E04F-CE34-D22821775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22224</xdr:colOff>
      <xdr:row>47</xdr:row>
      <xdr:rowOff>180974</xdr:rowOff>
    </xdr:from>
    <xdr:to>
      <xdr:col>6</xdr:col>
      <xdr:colOff>19049</xdr:colOff>
      <xdr:row>64</xdr:row>
      <xdr:rowOff>171449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F2F759-575E-1B59-F450-063C535EA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B979-4B80-45F8-AF75-E04C49E3242C}">
  <dimension ref="A1:C75"/>
  <sheetViews>
    <sheetView tabSelected="1" workbookViewId="0">
      <selection activeCell="K69" sqref="K69"/>
    </sheetView>
  </sheetViews>
  <sheetFormatPr defaultRowHeight="14.5" x14ac:dyDescent="0.35"/>
  <cols>
    <col min="1" max="1" width="23.26953125" bestFit="1" customWidth="1"/>
    <col min="2" max="2" width="15.6328125" bestFit="1" customWidth="1"/>
    <col min="3" max="3" width="11.81640625" bestFit="1" customWidth="1"/>
  </cols>
  <sheetData>
    <row r="1" spans="1:3" ht="15.5" x14ac:dyDescent="0.35">
      <c r="A1" s="1" t="s">
        <v>0</v>
      </c>
      <c r="B1" s="1" t="s">
        <v>1</v>
      </c>
    </row>
    <row r="2" spans="1:3" ht="15.5" x14ac:dyDescent="0.35">
      <c r="A2" s="1" t="s">
        <v>2</v>
      </c>
      <c r="B2" s="1">
        <v>1.2</v>
      </c>
    </row>
    <row r="3" spans="1:3" ht="15.5" x14ac:dyDescent="0.35">
      <c r="A3" s="1" t="s">
        <v>3</v>
      </c>
      <c r="B3" s="1">
        <v>1.4</v>
      </c>
    </row>
    <row r="4" spans="1:3" ht="15.5" x14ac:dyDescent="0.35">
      <c r="A4" s="1" t="s">
        <v>4</v>
      </c>
      <c r="B4" s="1">
        <v>0.1</v>
      </c>
    </row>
    <row r="6" spans="1:3" ht="15.5" x14ac:dyDescent="0.35">
      <c r="A6" s="2" t="s">
        <v>5</v>
      </c>
      <c r="B6" s="2" t="s">
        <v>0</v>
      </c>
      <c r="C6" s="2" t="s">
        <v>6</v>
      </c>
    </row>
    <row r="7" spans="1:3" ht="15.5" x14ac:dyDescent="0.35">
      <c r="A7" s="1">
        <v>1.2</v>
      </c>
      <c r="B7" s="3">
        <f>3*A7*EXP(A7)-COS(A7)</f>
        <v>11.590063167374895</v>
      </c>
      <c r="C7" s="1" t="s">
        <v>7</v>
      </c>
    </row>
    <row r="8" spans="1:3" ht="15.5" x14ac:dyDescent="0.35">
      <c r="A8" s="1">
        <v>1.3</v>
      </c>
      <c r="B8" s="3">
        <f t="shared" ref="B8:B9" si="0">3*A8*EXP(A8)-COS(A8)</f>
        <v>14.042758175090468</v>
      </c>
      <c r="C8" s="1" t="s">
        <v>8</v>
      </c>
    </row>
    <row r="9" spans="1:3" ht="15.5" x14ac:dyDescent="0.35">
      <c r="A9" s="1">
        <v>1.4</v>
      </c>
      <c r="B9" s="3">
        <f t="shared" si="0"/>
        <v>16.86187271784739</v>
      </c>
      <c r="C9" s="1" t="s">
        <v>9</v>
      </c>
    </row>
    <row r="11" spans="1:3" ht="15.5" x14ac:dyDescent="0.35">
      <c r="A11" s="4" t="s">
        <v>10</v>
      </c>
      <c r="B11" s="5">
        <f>6*EXP(A8)+3*A8*EXP(A8)+COS(A8)</f>
        <v>36.593535838055111</v>
      </c>
    </row>
    <row r="12" spans="1:3" ht="15.5" x14ac:dyDescent="0.35">
      <c r="A12" s="6" t="s">
        <v>11</v>
      </c>
      <c r="B12" s="7" t="s">
        <v>12</v>
      </c>
      <c r="C12" s="6" t="s">
        <v>13</v>
      </c>
    </row>
    <row r="13" spans="1:3" ht="15.5" x14ac:dyDescent="0.35">
      <c r="A13" s="4" t="s">
        <v>14</v>
      </c>
    </row>
    <row r="14" spans="1:3" x14ac:dyDescent="0.35">
      <c r="B14" s="5">
        <f>(B9-2*B8+B7)/($B$4^2)</f>
        <v>36.641953504135031</v>
      </c>
      <c r="C14" s="8">
        <f>ABS((B14-$B$11)/$B$11)</f>
        <v>1.3231207362467883E-3</v>
      </c>
    </row>
    <row r="37" spans="1:3" ht="15.5" x14ac:dyDescent="0.35">
      <c r="A37" s="2" t="s">
        <v>5</v>
      </c>
      <c r="B37" s="2" t="s">
        <v>0</v>
      </c>
      <c r="C37" s="2" t="s">
        <v>6</v>
      </c>
    </row>
    <row r="38" spans="1:3" ht="15.5" x14ac:dyDescent="0.35">
      <c r="A38" s="1">
        <v>1.29</v>
      </c>
      <c r="B38" s="3">
        <f>3*A38*EXP(A38)-COS(A38)</f>
        <v>13.781763095706816</v>
      </c>
      <c r="C38" s="1" t="s">
        <v>7</v>
      </c>
    </row>
    <row r="39" spans="1:3" ht="15.5" x14ac:dyDescent="0.35">
      <c r="A39" s="1">
        <v>1.3</v>
      </c>
      <c r="B39" s="3">
        <f t="shared" ref="B39:B40" si="1">3*A39*EXP(A39)-COS(A39)</f>
        <v>14.042758175090468</v>
      </c>
      <c r="C39" s="1" t="s">
        <v>8</v>
      </c>
    </row>
    <row r="40" spans="1:3" ht="15.5" x14ac:dyDescent="0.35">
      <c r="A40" s="1">
        <v>1.31</v>
      </c>
      <c r="B40" s="3">
        <f t="shared" si="1"/>
        <v>14.307412656453414</v>
      </c>
      <c r="C40" s="1" t="s">
        <v>9</v>
      </c>
    </row>
    <row r="42" spans="1:3" ht="15.5" x14ac:dyDescent="0.35">
      <c r="A42" s="4" t="s">
        <v>10</v>
      </c>
      <c r="B42" s="5">
        <f>6*EXP(A39)+3*A39*EXP(A39)+COS(A39)</f>
        <v>36.593535838055111</v>
      </c>
    </row>
    <row r="43" spans="1:3" ht="15.5" x14ac:dyDescent="0.35">
      <c r="A43" s="6" t="s">
        <v>11</v>
      </c>
      <c r="B43" s="7" t="s">
        <v>12</v>
      </c>
      <c r="C43" s="6" t="s">
        <v>13</v>
      </c>
    </row>
    <row r="44" spans="1:3" ht="15.5" x14ac:dyDescent="0.35">
      <c r="A44" s="4" t="s">
        <v>14</v>
      </c>
    </row>
    <row r="45" spans="1:3" x14ac:dyDescent="0.35">
      <c r="B45" s="5">
        <f>(B40-2*B39+B38)/(0.01^2)</f>
        <v>36.594019792950405</v>
      </c>
      <c r="C45" s="9">
        <f>ABS((B45-$B$42)/$B$42)</f>
        <v>1.3225147125332404E-5</v>
      </c>
    </row>
    <row r="68" spans="1:1" ht="15.5" x14ac:dyDescent="0.35">
      <c r="A68" s="10" t="s">
        <v>19</v>
      </c>
    </row>
    <row r="69" spans="1:1" ht="15.5" x14ac:dyDescent="0.35">
      <c r="A69" s="10" t="s">
        <v>20</v>
      </c>
    </row>
    <row r="70" spans="1:1" ht="15.5" x14ac:dyDescent="0.35">
      <c r="A70" s="4" t="s">
        <v>21</v>
      </c>
    </row>
    <row r="71" spans="1:1" ht="15.5" x14ac:dyDescent="0.35">
      <c r="A71" s="10" t="s">
        <v>22</v>
      </c>
    </row>
    <row r="72" spans="1:1" ht="15.5" x14ac:dyDescent="0.35">
      <c r="A72" s="4" t="s">
        <v>15</v>
      </c>
    </row>
    <row r="73" spans="1:1" ht="15.5" x14ac:dyDescent="0.35">
      <c r="A73" s="4" t="s">
        <v>16</v>
      </c>
    </row>
    <row r="74" spans="1:1" ht="15.5" x14ac:dyDescent="0.35">
      <c r="A74" s="4" t="s">
        <v>17</v>
      </c>
    </row>
    <row r="75" spans="1:1" ht="15.5" x14ac:dyDescent="0.35">
      <c r="A75" s="4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2026-06-26T17:01:04Z</dcterms:created>
  <dcterms:modified xsi:type="dcterms:W3CDTF">2026-06-27T04:54:43Z</dcterms:modified>
</cp:coreProperties>
</file>